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6"/>
  <workbookPr/>
  <mc:AlternateContent xmlns:mc="http://schemas.openxmlformats.org/markup-compatibility/2006">
    <mc:Choice Requires="x15">
      <x15ac:absPath xmlns:x15ac="http://schemas.microsoft.com/office/spreadsheetml/2010/11/ac" url="/Users/trevor.brewer/Documents/GitHub/passion-city-analytics/docs/"/>
    </mc:Choice>
  </mc:AlternateContent>
  <xr:revisionPtr revIDLastSave="0" documentId="13_ncr:1_{9D781A3D-52F7-FD4B-B13F-5089C35938A2}" xr6:coauthVersionLast="47" xr6:coauthVersionMax="47" xr10:uidLastSave="{00000000-0000-0000-0000-000000000000}"/>
  <bookViews>
    <workbookView xWindow="30240" yWindow="0" windowWidth="38400" windowHeight="21600" tabRatio="500" xr2:uid="{00000000-000D-0000-FFFF-FFFF00000000}"/>
  </bookViews>
  <sheets>
    <sheet name="Table Audit" sheetId="1" r:id="rId1"/>
    <sheet name="How to use" sheetId="2" r:id="rId2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I10" i="1" l="1"/>
  <c r="G6" i="1"/>
  <c r="G2" i="1"/>
</calcChain>
</file>

<file path=xl/sharedStrings.xml><?xml version="1.0" encoding="utf-8"?>
<sst xmlns="http://schemas.openxmlformats.org/spreadsheetml/2006/main" count="51" uniqueCount="49">
  <si>
    <t>Table (fully qualified)</t>
  </si>
  <si>
    <t>Business entity</t>
  </si>
  <si>
    <t>Purpose</t>
  </si>
  <si>
    <t>Grain (1 row = )</t>
  </si>
  <si>
    <t>Row count</t>
  </si>
  <si>
    <t>Date range start</t>
  </si>
  <si>
    <t>Date range end</t>
  </si>
  <si>
    <t>Key columns</t>
  </si>
  <si>
    <t>Null / completeness issues</t>
  </si>
  <si>
    <t>Duplicate check</t>
  </si>
  <si>
    <t>Referential integrity notes</t>
  </si>
  <si>
    <t>Other known issues</t>
  </si>
  <si>
    <t>Silver readiness</t>
  </si>
  <si>
    <t>Readiness notes</t>
  </si>
  <si>
    <t>Person</t>
  </si>
  <si>
    <t>One record per individual known to the church (member, attendee, visitor).</t>
  </si>
  <si>
    <t>1 row = 1 person</t>
  </si>
  <si>
    <t>Needs cleanup</t>
  </si>
  <si>
    <t>Dedupe suspected duplicate persons before Silver join keys are finalized</t>
  </si>
  <si>
    <t>Household</t>
  </si>
  <si>
    <t>Campus</t>
  </si>
  <si>
    <t>Giving transactions</t>
  </si>
  <si>
    <t>Group members</t>
  </si>
  <si>
    <t>Group attendance</t>
  </si>
  <si>
    <t>Sunday attendance headcount</t>
  </si>
  <si>
    <t>Purpose of this tracker</t>
  </si>
  <si>
    <t>Audit tracker for Rock RMS tables needed for Phase 2 Silver layer modeling (PTP-17183).</t>
  </si>
  <si>
    <t>Row 2 (italic)</t>
  </si>
  <si>
    <t>Example row showing expected format and level of detail. Delete before final delivery, or leave as reference.</t>
  </si>
  <si>
    <t>Rows 3+</t>
  </si>
  <si>
    <t>One row per table. Add rows as needed if an entity maps to more than one physical table.</t>
  </si>
  <si>
    <t>Column notes</t>
  </si>
  <si>
    <t>Grain</t>
  </si>
  <si>
    <t>What one row represents, e.g. '1 row = 1 giving transaction line item'. Critical for Silver modeling decisions.</t>
  </si>
  <si>
    <t>Use one of: Ready / Needs cleanup / Blocked</t>
  </si>
  <si>
    <t>e.g. '% of foreign keys that resolve to their parent table'</t>
  </si>
  <si>
    <t>Suggested query pattern per table</t>
  </si>
  <si>
    <t>SELECT COUNT(*) AS row_count, MIN(date_col) AS earliest, MAX(date_col) AS latest, COUNTIF(key_col IS NULL) AS nulls FROM `project.dataset.table`</t>
  </si>
  <si>
    <t>RockConnectProd.dbo.Person</t>
  </si>
  <si>
    <t>Id (PK), PrimaryFamilyId (FK to Household), PrimaryAliasId (FK to PrimaryAlias</t>
  </si>
  <si>
    <t>82% missing age, 75% missing gender, 65% missing email, 73% missing campus</t>
  </si>
  <si>
    <t>1000 suspected duplicates on name and bday</t>
  </si>
  <si>
    <t>1135 rows with 'test' in name or email</t>
  </si>
  <si>
    <t>RockConnectProd.dbo.GroupMember</t>
  </si>
  <si>
    <t>Define group membership status for each person and each group they are in</t>
  </si>
  <si>
    <t>1 person 1 group</t>
  </si>
  <si>
    <t>id, groupid, grouptypeid</t>
  </si>
  <si>
    <t>3% missing creation date</t>
  </si>
  <si>
    <t>5787 potential dups on person, group, role, and isarchived 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</si>
</sst>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charset val="1"/>
    </font>
    <font>
      <sz val="10"/>
      <name val="Arial"/>
      <family val="2"/>
    </font>
    <font>
      <b/>
      <sz val="10"/>
      <color rgb="FFFFFFFF"/>
      <name val="Arial"/>
      <family val="2"/>
    </font>
    <font>
      <i/>
      <sz val="10"/>
      <color rgb="FF5F5E5A"/>
      <name val="Arial"/>
      <family val="2"/>
    </font>
    <font>
      <sz val="10"/>
      <name val="Arial"/>
      <family val="2"/>
    </font>
    <font>
      <b/>
      <sz val="11"/>
      <name val="Arial"/>
      <family val="2"/>
    </font>
    <font>
      <sz val="1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1D9E75"/>
        <bgColor rgb="FF008080"/>
      </patternFill>
    </fill>
  </fills>
  <borders count="2">
    <border>
      <left/>
      <right/>
      <top/>
      <bottom/>
      <diagonal/>
    </border>
    <border>
      <left style="thin">
        <color rgb="FFD3D1C7"/>
      </left>
      <right style="thin">
        <color rgb="FFD3D1C7"/>
      </right>
      <top style="thin">
        <color rgb="FFD3D1C7"/>
      </top>
      <bottom style="thin">
        <color rgb="FFD3D1C7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vertical="top" wrapText="1"/>
    </xf>
    <xf numFmtId="0" fontId="4" fillId="0" borderId="1" xfId="0" applyFont="1" applyBorder="1" applyAlignment="1">
      <alignment vertical="top" wrapText="1"/>
    </xf>
    <xf numFmtId="0" fontId="5" fillId="0" borderId="0" xfId="0" applyFont="1"/>
    <xf numFmtId="0" fontId="6" fillId="0" borderId="0" xfId="0" applyFont="1"/>
    <xf numFmtId="0" fontId="3" fillId="0" borderId="1" xfId="0" applyNumberFormat="1" applyFont="1" applyBorder="1" applyAlignment="1">
      <alignment vertical="top" wrapText="1"/>
    </xf>
    <xf numFmtId="14" fontId="3" fillId="0" borderId="1" xfId="0" applyNumberFormat="1" applyFont="1" applyBorder="1" applyAlignment="1">
      <alignment vertical="top" wrapText="1"/>
    </xf>
    <xf numFmtId="0" fontId="1" fillId="0" borderId="1" xfId="0" applyFont="1" applyBorder="1" applyAlignment="1">
      <alignment vertical="top" wrapText="1"/>
    </xf>
    <xf numFmtId="14" fontId="4" fillId="0" borderId="1" xfId="0" applyNumberFormat="1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3D1C7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F5E5A"/>
      <rgbColor rgb="FF969696"/>
      <rgbColor rgb="FF003366"/>
      <rgbColor rgb="FF1D9E75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0"/>
  <sheetViews>
    <sheetView tabSelected="1" zoomScaleNormal="100" workbookViewId="0">
      <pane ySplit="1" topLeftCell="A2" activePane="bottomLeft" state="frozen"/>
      <selection pane="bottomLeft" activeCell="L6" sqref="L6"/>
    </sheetView>
  </sheetViews>
  <sheetFormatPr baseColWidth="10" defaultColWidth="8.6640625" defaultRowHeight="15" x14ac:dyDescent="0.2"/>
  <cols>
    <col min="1" max="1" width="26" customWidth="1"/>
    <col min="2" max="2" width="16" customWidth="1"/>
    <col min="3" max="3" width="34" customWidth="1"/>
    <col min="4" max="4" width="20" customWidth="1"/>
    <col min="5" max="5" width="12" customWidth="1"/>
    <col min="6" max="7" width="14" customWidth="1"/>
    <col min="8" max="11" width="26" customWidth="1"/>
    <col min="12" max="12" width="30" customWidth="1"/>
    <col min="13" max="13" width="14" customWidth="1"/>
    <col min="14" max="14" width="30" customWidth="1"/>
  </cols>
  <sheetData>
    <row r="1" spans="1:14" ht="33.7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ht="42" x14ac:dyDescent="0.2">
      <c r="A2" s="2" t="s">
        <v>38</v>
      </c>
      <c r="B2" s="2" t="s">
        <v>14</v>
      </c>
      <c r="C2" s="2" t="s">
        <v>15</v>
      </c>
      <c r="D2" s="2" t="s">
        <v>16</v>
      </c>
      <c r="E2" s="6">
        <v>393049</v>
      </c>
      <c r="F2" s="7">
        <v>41289</v>
      </c>
      <c r="G2" s="7">
        <f ca="1">TODAY()</f>
        <v>46252</v>
      </c>
      <c r="H2" s="2" t="s">
        <v>39</v>
      </c>
      <c r="I2" s="2" t="s">
        <v>40</v>
      </c>
      <c r="J2" s="2" t="s">
        <v>41</v>
      </c>
      <c r="K2" s="2"/>
      <c r="L2" s="2" t="s">
        <v>42</v>
      </c>
      <c r="M2" s="2" t="s">
        <v>17</v>
      </c>
      <c r="N2" s="2" t="s">
        <v>18</v>
      </c>
    </row>
    <row r="3" spans="1:14" x14ac:dyDescent="0.2">
      <c r="A3" s="3"/>
      <c r="B3" s="3" t="s">
        <v>19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</row>
    <row r="4" spans="1:14" x14ac:dyDescent="0.2">
      <c r="A4" s="3"/>
      <c r="B4" s="3" t="s">
        <v>20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</row>
    <row r="5" spans="1:14" x14ac:dyDescent="0.2">
      <c r="A5" s="3"/>
      <c r="B5" s="3" t="s">
        <v>21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</row>
    <row r="6" spans="1:14" ht="42" x14ac:dyDescent="0.2">
      <c r="A6" s="3" t="s">
        <v>43</v>
      </c>
      <c r="B6" s="3" t="s">
        <v>22</v>
      </c>
      <c r="C6" s="8" t="s">
        <v>44</v>
      </c>
      <c r="D6" s="8" t="s">
        <v>45</v>
      </c>
      <c r="E6" s="3">
        <v>1859179</v>
      </c>
      <c r="F6" s="9">
        <v>42398</v>
      </c>
      <c r="G6" s="9">
        <f ca="1">TODAY()</f>
        <v>46252</v>
      </c>
      <c r="H6" s="8" t="s">
        <v>46</v>
      </c>
      <c r="I6" s="8" t="s">
        <v>47</v>
      </c>
      <c r="J6" s="8" t="s">
        <v>48</v>
      </c>
      <c r="K6" s="3"/>
      <c r="L6" s="3"/>
      <c r="M6" s="3"/>
      <c r="N6" s="3"/>
    </row>
    <row r="7" spans="1:14" x14ac:dyDescent="0.2">
      <c r="A7" s="3"/>
      <c r="B7" s="3" t="s">
        <v>23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</row>
    <row r="8" spans="1:14" ht="42" x14ac:dyDescent="0.2">
      <c r="A8" s="3"/>
      <c r="B8" s="3" t="s">
        <v>24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</row>
    <row r="10" spans="1:14" x14ac:dyDescent="0.2">
      <c r="I10">
        <f>55980/E6</f>
        <v>3.0110064711359154E-2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2"/>
  <sheetViews>
    <sheetView zoomScaleNormal="100" workbookViewId="0"/>
  </sheetViews>
  <sheetFormatPr baseColWidth="10" defaultColWidth="8.6640625" defaultRowHeight="15" x14ac:dyDescent="0.2"/>
  <cols>
    <col min="1" max="1" width="28" customWidth="1"/>
    <col min="2" max="2" width="90" customWidth="1"/>
  </cols>
  <sheetData>
    <row r="1" spans="1:2" x14ac:dyDescent="0.2">
      <c r="A1" s="4" t="s">
        <v>25</v>
      </c>
      <c r="B1" s="5"/>
    </row>
    <row r="2" spans="1:2" x14ac:dyDescent="0.2">
      <c r="A2" s="5"/>
      <c r="B2" s="5" t="s">
        <v>26</v>
      </c>
    </row>
    <row r="3" spans="1:2" x14ac:dyDescent="0.2">
      <c r="A3" s="5"/>
      <c r="B3" s="5"/>
    </row>
    <row r="4" spans="1:2" x14ac:dyDescent="0.2">
      <c r="A4" s="5" t="s">
        <v>27</v>
      </c>
      <c r="B4" s="5" t="s">
        <v>28</v>
      </c>
    </row>
    <row r="5" spans="1:2" x14ac:dyDescent="0.2">
      <c r="A5" s="5" t="s">
        <v>29</v>
      </c>
      <c r="B5" s="5" t="s">
        <v>30</v>
      </c>
    </row>
    <row r="6" spans="1:2" x14ac:dyDescent="0.2">
      <c r="A6" s="5"/>
      <c r="B6" s="5"/>
    </row>
    <row r="7" spans="1:2" x14ac:dyDescent="0.2">
      <c r="A7" s="4" t="s">
        <v>31</v>
      </c>
      <c r="B7" s="5"/>
    </row>
    <row r="8" spans="1:2" x14ac:dyDescent="0.2">
      <c r="A8" s="5" t="s">
        <v>32</v>
      </c>
      <c r="B8" s="5" t="s">
        <v>33</v>
      </c>
    </row>
    <row r="9" spans="1:2" x14ac:dyDescent="0.2">
      <c r="A9" s="5" t="s">
        <v>12</v>
      </c>
      <c r="B9" s="5" t="s">
        <v>34</v>
      </c>
    </row>
    <row r="10" spans="1:2" x14ac:dyDescent="0.2">
      <c r="A10" s="5" t="s">
        <v>10</v>
      </c>
      <c r="B10" s="5" t="s">
        <v>35</v>
      </c>
    </row>
    <row r="11" spans="1:2" x14ac:dyDescent="0.2">
      <c r="A11" s="5"/>
      <c r="B11" s="5"/>
    </row>
    <row r="12" spans="1:2" x14ac:dyDescent="0.2">
      <c r="A12" s="5" t="s">
        <v>36</v>
      </c>
      <c r="B12" s="5" t="s">
        <v>37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 Audit</vt:lpstr>
      <vt:lpstr>How to use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Trevor Brewer</cp:lastModifiedBy>
  <cp:revision>0</cp:revision>
  <dcterms:created xsi:type="dcterms:W3CDTF">2026-07-29T13:27:02Z</dcterms:created>
  <dcterms:modified xsi:type="dcterms:W3CDTF">2026-08-18T13:49:36Z</dcterms:modified>
  <dc:language>en-US</dc:language>
</cp:coreProperties>
</file>